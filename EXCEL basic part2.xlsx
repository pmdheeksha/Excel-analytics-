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Objects="none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00434a15853249/Documents/"/>
    </mc:Choice>
  </mc:AlternateContent>
  <xr:revisionPtr revIDLastSave="490" documentId="8_{71BBD962-D141-47EB-9BC0-BC3797928FED}" xr6:coauthVersionLast="47" xr6:coauthVersionMax="47" xr10:uidLastSave="{4479E031-FC34-47F9-8E32-B9741938ACBF}"/>
  <workbookProtection workbookAlgorithmName="SHA-512" workbookHashValue="IYVXbdxU34OhPfxSsNP7DBzYGhsPR1a9fp+E7FMqslrh6IgKaKpsr/06gFH3i+CIgDLMrINq2Jb0WAp8A9p30Q==" workbookSaltValue="WQbdFugSeFslcmJmFhLS6g==" workbookSpinCount="100000" lockStructure="1"/>
  <bookViews>
    <workbookView showVerticalScroll="0" xWindow="-110" yWindow="-110" windowWidth="19420" windowHeight="11500" tabRatio="395" firstSheet="4" activeTab="5" xr2:uid="{BFFE4754-3A85-4136-B017-8116D6C7782E}"/>
  </bookViews>
  <sheets>
    <sheet name="SubString" sheetId="1" r:id="rId1"/>
    <sheet name="TEST data" sheetId="2" r:id="rId2"/>
    <sheet name="Rounding off" sheetId="3" r:id="rId3"/>
    <sheet name="Conditional formatting" sheetId="4" r:id="rId4"/>
    <sheet name="Data Mapping" sheetId="5" r:id="rId5"/>
    <sheet name="offset" sheetId="6" r:id="rId6"/>
    <sheet name="Dropdown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6" l="1"/>
  <c r="D26" i="6" a="1"/>
  <c r="D26" i="6" s="1"/>
  <c r="D24" i="6"/>
  <c r="B20" i="6"/>
  <c r="C16" i="6" a="1"/>
  <c r="C16" i="6" s="1"/>
  <c r="D37" i="5"/>
  <c r="D33" i="5"/>
  <c r="D25" i="5"/>
  <c r="E14" i="5"/>
  <c r="C18" i="5"/>
  <c r="I29" i="3"/>
  <c r="I30" i="3"/>
  <c r="I31" i="3"/>
  <c r="I32" i="3"/>
  <c r="I33" i="3"/>
  <c r="I34" i="3"/>
  <c r="H29" i="3"/>
  <c r="H30" i="3"/>
  <c r="H31" i="3"/>
  <c r="H32" i="3"/>
  <c r="H33" i="3"/>
  <c r="H34" i="3"/>
  <c r="G34" i="3"/>
  <c r="G33" i="3"/>
  <c r="G32" i="3"/>
  <c r="G31" i="3"/>
  <c r="G30" i="3"/>
  <c r="G29" i="3"/>
  <c r="D23" i="3"/>
  <c r="D18" i="3"/>
  <c r="D17" i="3"/>
  <c r="D15" i="3"/>
  <c r="D14" i="3"/>
  <c r="D13" i="3"/>
  <c r="C9" i="3"/>
  <c r="C6" i="3"/>
  <c r="C5" i="3"/>
  <c r="C4" i="3"/>
  <c r="C42" i="2"/>
  <c r="C44" i="2"/>
  <c r="C41" i="2"/>
  <c r="C34" i="2"/>
  <c r="C28" i="2"/>
  <c r="C27" i="2"/>
  <c r="E20" i="2"/>
  <c r="D20" i="2"/>
  <c r="C20" i="2"/>
  <c r="B13" i="2"/>
  <c r="D8" i="2"/>
  <c r="D7" i="2"/>
  <c r="L7" i="1"/>
  <c r="M7" i="1"/>
  <c r="M8" i="1"/>
  <c r="M9" i="1"/>
  <c r="M10" i="1"/>
  <c r="M11" i="1"/>
  <c r="M12" i="1"/>
  <c r="M13" i="1"/>
  <c r="K13" i="1"/>
  <c r="L8" i="1"/>
  <c r="L9" i="1"/>
  <c r="L10" i="1"/>
  <c r="L11" i="1"/>
  <c r="L12" i="1"/>
  <c r="K7" i="1"/>
  <c r="K8" i="1"/>
  <c r="K9" i="1"/>
  <c r="K10" i="1"/>
  <c r="K11" i="1"/>
  <c r="K12" i="1"/>
  <c r="D15" i="1"/>
  <c r="E6" i="1"/>
  <c r="E5" i="1"/>
  <c r="D6" i="1"/>
  <c r="D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<sst xmlns="http://schemas.openxmlformats.org/spreadsheetml/2006/main" count="173" uniqueCount="121">
  <si>
    <t>Prefix</t>
  </si>
  <si>
    <t>Fname</t>
  </si>
  <si>
    <t>Sname</t>
  </si>
  <si>
    <t>Full Name</t>
  </si>
  <si>
    <t>Using &amp;</t>
  </si>
  <si>
    <t>Mr.</t>
  </si>
  <si>
    <t>Anirudha</t>
  </si>
  <si>
    <t>Kalbande</t>
  </si>
  <si>
    <t>CONCATENATE(A5," ",A5," ",C5)</t>
  </si>
  <si>
    <t>Dr.</t>
  </si>
  <si>
    <t>Abhay</t>
  </si>
  <si>
    <t>Sisodiya</t>
  </si>
  <si>
    <t>A5&amp;" "&amp;B5&amp;" "&amp;F4</t>
  </si>
  <si>
    <t>Method 2</t>
  </si>
  <si>
    <t>|</t>
  </si>
  <si>
    <t>Method 1</t>
  </si>
  <si>
    <t>Method 3</t>
  </si>
  <si>
    <t>Area is</t>
  </si>
  <si>
    <t>Left and Right</t>
  </si>
  <si>
    <t>Chennai</t>
  </si>
  <si>
    <t>Bangalore</t>
  </si>
  <si>
    <t>Mumbai</t>
  </si>
  <si>
    <t>Delhi</t>
  </si>
  <si>
    <t>Column1</t>
  </si>
  <si>
    <t>CITY</t>
  </si>
  <si>
    <t>Telugana</t>
  </si>
  <si>
    <t>Goa</t>
  </si>
  <si>
    <t>Left</t>
  </si>
  <si>
    <t>Right</t>
  </si>
  <si>
    <t>RIGHT("Chenani",4)</t>
  </si>
  <si>
    <t>mid</t>
  </si>
  <si>
    <t>MID(Cell</t>
  </si>
  <si>
    <t>LEFT(Cell,value) ex:LEFT(cell,4)</t>
  </si>
  <si>
    <t>MID(Cell,2,3)</t>
  </si>
  <si>
    <t>TRIM function</t>
  </si>
  <si>
    <t xml:space="preserve">       I have a book</t>
  </si>
  <si>
    <t>Do you   need that   book</t>
  </si>
  <si>
    <t>used avoid spaces</t>
  </si>
  <si>
    <t>TRIM(B8)</t>
  </si>
  <si>
    <t>TRIM("   HAI ! I am     Dheeksha    ")</t>
  </si>
  <si>
    <t>LOWER AND UPPER CASE</t>
  </si>
  <si>
    <t>Hello ! HOW ARE you</t>
  </si>
  <si>
    <t>Upper</t>
  </si>
  <si>
    <t>Lower</t>
  </si>
  <si>
    <t>Proper</t>
  </si>
  <si>
    <t>FIND AND SEARCH</t>
  </si>
  <si>
    <t>Hello ! How are you?</t>
  </si>
  <si>
    <t>Hi ! I am Good</t>
  </si>
  <si>
    <t>SEARCH("Hello",B27) it shows the position where it present</t>
  </si>
  <si>
    <t xml:space="preserve"> SEARCH use upper and lower</t>
  </si>
  <si>
    <t>Find</t>
  </si>
  <si>
    <t>Hello ! I am a Data Scientist</t>
  </si>
  <si>
    <t>SUBSTITUTE &amp; REPLACE</t>
  </si>
  <si>
    <t>Hello, I am Dheeksha</t>
  </si>
  <si>
    <t>SUBSTITUTE(B41,"Hello","Hai")</t>
  </si>
  <si>
    <t>Substitude means replace the string(case sensitive)</t>
  </si>
  <si>
    <t>Replace in position</t>
  </si>
  <si>
    <t>REPLACE(B44,13,8,"Amulu")</t>
  </si>
  <si>
    <t>Hello, Hello am Dheeksha</t>
  </si>
  <si>
    <t>SUBSTITUTE(B42,"Hello","I",2)</t>
  </si>
  <si>
    <t>CHAR AND LEN</t>
  </si>
  <si>
    <t>Char</t>
  </si>
  <si>
    <t>CHAR(65)</t>
  </si>
  <si>
    <t>CHAR(64)</t>
  </si>
  <si>
    <t>len</t>
  </si>
  <si>
    <t>LEN("Banglore")</t>
  </si>
  <si>
    <t>ROUND OFF</t>
  </si>
  <si>
    <t>ROUND(B13,2)</t>
  </si>
  <si>
    <t>ROUND(B17,-1)</t>
  </si>
  <si>
    <t>FLOOR</t>
  </si>
  <si>
    <t>Name</t>
  </si>
  <si>
    <t>Maths</t>
  </si>
  <si>
    <t>Physics</t>
  </si>
  <si>
    <t>m Result</t>
  </si>
  <si>
    <t>A</t>
  </si>
  <si>
    <t>B</t>
  </si>
  <si>
    <t>C</t>
  </si>
  <si>
    <t>D</t>
  </si>
  <si>
    <t>E</t>
  </si>
  <si>
    <t>F</t>
  </si>
  <si>
    <t>AND OR</t>
  </si>
  <si>
    <t>Column2</t>
  </si>
  <si>
    <t>IF(OR([@Maths]&gt;25,[@Physics]&gt;25),"PASS","FAIL")</t>
  </si>
  <si>
    <t>Column3</t>
  </si>
  <si>
    <t>IF(AND([@Maths]&gt;25,[@Physics]&gt;25),"PASS","FAIL")</t>
  </si>
  <si>
    <t>ID</t>
  </si>
  <si>
    <t>NAME</t>
  </si>
  <si>
    <t>GENDER</t>
  </si>
  <si>
    <t>AGE</t>
  </si>
  <si>
    <t>Ajay</t>
  </si>
  <si>
    <t>Sumit</t>
  </si>
  <si>
    <t>Rahul</t>
  </si>
  <si>
    <t>Priya</t>
  </si>
  <si>
    <t>Rashmi</t>
  </si>
  <si>
    <t>Raj</t>
  </si>
  <si>
    <t>Male</t>
  </si>
  <si>
    <t>Female</t>
  </si>
  <si>
    <t>Pune</t>
  </si>
  <si>
    <t>Shami</t>
  </si>
  <si>
    <t>Hydrabad</t>
  </si>
  <si>
    <t>V-lookup</t>
  </si>
  <si>
    <t>V LOOKUP</t>
  </si>
  <si>
    <t>HLOOKUP-checks first row(topmost row)</t>
  </si>
  <si>
    <t>MATCH = returns the position</t>
  </si>
  <si>
    <t>Match ID</t>
  </si>
  <si>
    <t>INDEX</t>
  </si>
  <si>
    <t>INDEX(A4:A10,C15)</t>
  </si>
  <si>
    <t>INDEX&amp;MATCH</t>
  </si>
  <si>
    <t xml:space="preserve"> </t>
  </si>
  <si>
    <t>INDEX(D4:D10,MATCH(104,A4:A9))</t>
  </si>
  <si>
    <t>OFFSET</t>
  </si>
  <si>
    <t>TYPES</t>
  </si>
  <si>
    <t>Reference</t>
  </si>
  <si>
    <t>Row</t>
  </si>
  <si>
    <t>Column</t>
  </si>
  <si>
    <t>Height</t>
  </si>
  <si>
    <t>OFFSET(A4,3,3,1,1)</t>
  </si>
  <si>
    <r>
      <rPr>
        <sz val="11"/>
        <color theme="6" tint="0.39997558519241921"/>
        <rFont val="Aptos Narrow"/>
        <family val="2"/>
        <scheme val="minor"/>
      </rPr>
      <t>SUM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6" tint="0.39997558519241921"/>
        <rFont val="Aptos Narrow"/>
        <family val="2"/>
        <scheme val="minor"/>
      </rPr>
      <t>OFFSET</t>
    </r>
  </si>
  <si>
    <t>Width</t>
  </si>
  <si>
    <t>OFFSET(B4,2,2,2,1)</t>
  </si>
  <si>
    <t>Select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</si>
</sst>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1E3F25-017C-4486-B4CD-DC55DB911D4D}" name="Table3" displayName="Table3" ref="J6:N13" totalsRowShown="0" headerRowDxfId="11">
  <autoFilter ref="J6:N13" xr:uid="{B61E3F25-017C-4486-B4CD-DC55DB911D4D}"/>
  <tableColumns count="5">
    <tableColumn id="1" xr3:uid="{50AB6753-B0D4-44F3-99F0-810467A2D468}" name="CITY"/>
    <tableColumn id="2" xr3:uid="{2B43751C-B09F-47C2-94B5-3B12D92F42D2}" name="Left" dataDxfId="10">
      <calculatedColumnFormula>LEFT("Chennai",3)</calculatedColumnFormula>
    </tableColumn>
    <tableColumn id="3" xr3:uid="{6CD03EA2-44B1-4208-A702-3BA517A4C992}" name="Right" dataDxfId="9">
      <calculatedColumnFormula>RIGHT("Chenani",4)</calculatedColumnFormula>
    </tableColumn>
    <tableColumn id="4" xr3:uid="{6D1674F1-5F3C-4019-A35F-F9E78AB3293E}" name="mid" dataDxfId="8">
      <calculatedColumnFormula>MID(Table3[[#This Row],[CITY]],2,3)</calculatedColumnFormula>
    </tableColumn>
    <tableColumn id="5" xr3:uid="{1EAEF4AC-ED3D-424E-A791-46B656798C8A}" name="Column1" dataDxfId="7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8D701C-7F40-42F8-8A41-F92A817D8D2A}" name="Table7" displayName="Table7" ref="D28:I34" totalsRowShown="0">
  <autoFilter ref="D28:I34" xr:uid="{8B8D701C-7F40-42F8-8A41-F92A817D8D2A}"/>
  <tableColumns count="6">
    <tableColumn id="1" xr3:uid="{D14EE318-79A5-4DB8-BE30-969BD9C443F9}" name="Name"/>
    <tableColumn id="2" xr3:uid="{594C51EA-F06C-4CB4-AB25-69F21DC8A52E}" name="Maths"/>
    <tableColumn id="3" xr3:uid="{F187F14E-E9A7-4D3F-8865-95506B7BA3C1}" name="Physics"/>
    <tableColumn id="4" xr3:uid="{FBBD8E14-7B12-411A-9DC3-EE87F7A61316}" name="m Result" dataDxfId="6">
      <calculatedColumnFormula>IF(Table7[[#This Row],[Maths]]&lt;25,"Fail","Pass")</calculatedColumnFormula>
    </tableColumn>
    <tableColumn id="6" xr3:uid="{A2CA5106-82C7-4E52-B3C8-B37A22C9D8BC}" name="Column2" dataDxfId="5">
      <calculatedColumnFormula>IF(OR(Table7[[#This Row],[Maths]]&gt;25,Table7[[#This Row],[Physics]]&gt;25),"PASS","FAIL")</calculatedColumnFormula>
    </tableColumn>
    <tableColumn id="8" xr3:uid="{9499E034-7895-40B0-9834-2DC3B5EA61F7}" name="Column3" dataDxfId="4">
      <calculatedColumnFormula>IF(AND(Table7[[#This Row],[Maths]]&gt;25,Table7[[#This Row],[Physics]]&gt;25),"PASS","FAIL")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03C35C-F58E-455A-89B7-412F497281C8}" name="Table2" displayName="Table2" ref="A3:E10" totalsRowShown="0">
  <tableColumns count="5">
    <tableColumn id="1" xr3:uid="{D32227E4-0F3F-4083-A619-A641FD0A3210}" name="ID"/>
    <tableColumn id="2" xr3:uid="{762F32E3-E591-4556-8019-F0E6A3249950}" name="NAME"/>
    <tableColumn id="3" xr3:uid="{196F8B34-4426-4C4B-8148-A0E9512C6208}" name="GENDER"/>
    <tableColumn id="4" xr3:uid="{818AC2F9-B796-425C-A37F-5359EB9C507F}" name="AGE"/>
    <tableColumn id="5" xr3:uid="{7B7CA8DA-A1A6-4EE5-92A3-241FF58D2DC3}" name="CITY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C4A559-DDAE-41C1-8887-3D2810CA0090}" name="Table25" displayName="Table25" ref="A3:E10" totalsRowShown="0">
  <tableColumns count="5">
    <tableColumn id="1" xr3:uid="{15858F1E-0517-40DA-9FD3-84733DDBED3D}" name="ID"/>
    <tableColumn id="2" xr3:uid="{E9015A9C-1AB7-47D6-A9D7-36712BBE11AB}" name="NAME"/>
    <tableColumn id="3" xr3:uid="{DB584405-C65B-4346-BFE5-E7C74E90665E}" name="GENDER"/>
    <tableColumn id="4" xr3:uid="{A1133528-20CD-4CF2-90EE-AEC80A1AF450}" name="AGE"/>
    <tableColumn id="5" xr3:uid="{176E634D-C5FA-4149-B673-A01DEA170390}" name="CIT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321C-1343-4E7A-8303-560F60A0ACA2}">
  <dimension ref="A2:P15"/>
  <sheetViews>
    <sheetView topLeftCell="AM1" workbookViewId="0">
      <selection activeCell="AU5" sqref="AU5"/>
    </sheetView>
  </sheetViews>
  <sheetFormatPr defaultRowHeight="14.5" x14ac:dyDescent="0.35"/>
  <cols>
    <col min="4" max="4" width="18.90625" customWidth="1"/>
    <col min="5" max="5" width="17.54296875" customWidth="1"/>
    <col min="10" max="10" width="22.08984375" customWidth="1"/>
  </cols>
  <sheetData>
    <row r="2" spans="1:16" x14ac:dyDescent="0.35">
      <c r="D2" s="2" t="s">
        <v>15</v>
      </c>
      <c r="F2" s="2" t="s">
        <v>13</v>
      </c>
      <c r="J2" s="2" t="s">
        <v>18</v>
      </c>
    </row>
    <row r="3" spans="1:16" x14ac:dyDescent="0.35">
      <c r="D3" s="2" t="s">
        <v>8</v>
      </c>
      <c r="F3" t="s">
        <v>14</v>
      </c>
    </row>
    <row r="4" spans="1:16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3" t="s">
        <v>12</v>
      </c>
      <c r="G4" s="1"/>
    </row>
    <row r="5" spans="1:16" x14ac:dyDescent="0.35">
      <c r="A5" t="s">
        <v>5</v>
      </c>
      <c r="B5" t="s">
        <v>6</v>
      </c>
      <c r="C5" t="s">
        <v>7</v>
      </c>
      <c r="D5" t="str">
        <f>CONCATENATE(A5," ",B5," ",C5)</f>
        <v>Mr. Anirudha Kalbande</v>
      </c>
      <c r="E5" t="str">
        <f>A5&amp;" "&amp;B5&amp;" "&amp;C4</f>
        <v>Mr. Anirudha Sname</v>
      </c>
      <c r="K5" s="2" t="s">
        <v>32</v>
      </c>
    </row>
    <row r="6" spans="1:16" x14ac:dyDescent="0.35">
      <c r="A6" t="s">
        <v>9</v>
      </c>
      <c r="B6" t="s">
        <v>10</v>
      </c>
      <c r="C6" t="s">
        <v>11</v>
      </c>
      <c r="D6" t="str">
        <f>CONCATENATE(A6," ",B6," ",C6)</f>
        <v>Dr. Abhay Sisodiya</v>
      </c>
      <c r="E6" t="str">
        <f>A6&amp;" "&amp;B6&amp;" "&amp;C5</f>
        <v>Dr. Abhay Kalbande</v>
      </c>
      <c r="J6" s="1" t="s">
        <v>24</v>
      </c>
      <c r="K6" s="1" t="s">
        <v>27</v>
      </c>
      <c r="L6" s="1" t="s">
        <v>28</v>
      </c>
      <c r="M6" s="1" t="s">
        <v>30</v>
      </c>
      <c r="N6" s="1" t="s">
        <v>23</v>
      </c>
    </row>
    <row r="7" spans="1:16" x14ac:dyDescent="0.35">
      <c r="J7" t="s">
        <v>19</v>
      </c>
      <c r="K7" t="str">
        <f t="shared" ref="K7:K12" si="0">LEFT("Chennai",3)</f>
        <v>Che</v>
      </c>
      <c r="L7" t="str">
        <f>RIGHT(Table3[[#This Row],[CITY]],4)</f>
        <v>nnai</v>
      </c>
      <c r="M7" t="str">
        <f>MID(Table3[[#This Row],[CITY]],2,3)</f>
        <v>hen</v>
      </c>
    </row>
    <row r="8" spans="1:16" x14ac:dyDescent="0.35">
      <c r="J8" t="s">
        <v>20</v>
      </c>
      <c r="K8" t="str">
        <f t="shared" si="0"/>
        <v>Che</v>
      </c>
      <c r="L8" t="str">
        <f t="shared" ref="L8:L12" si="1">RIGHT("Chenani",4)</f>
        <v>nani</v>
      </c>
      <c r="M8" t="str">
        <f>MID(Table3[[#This Row],[CITY]],2,3)</f>
        <v>ang</v>
      </c>
      <c r="N8" t="s">
        <v>31</v>
      </c>
    </row>
    <row r="9" spans="1:16" x14ac:dyDescent="0.35">
      <c r="J9" t="s">
        <v>21</v>
      </c>
      <c r="K9" t="str">
        <f t="shared" si="0"/>
        <v>Che</v>
      </c>
      <c r="L9" t="str">
        <f t="shared" si="1"/>
        <v>nani</v>
      </c>
      <c r="M9" t="str">
        <f>MID(Table3[[#This Row],[CITY]],2,3)</f>
        <v>umb</v>
      </c>
      <c r="P9" s="2" t="s">
        <v>33</v>
      </c>
    </row>
    <row r="10" spans="1:16" x14ac:dyDescent="0.35">
      <c r="J10" t="s">
        <v>22</v>
      </c>
      <c r="K10" t="str">
        <f t="shared" si="0"/>
        <v>Che</v>
      </c>
      <c r="L10" t="str">
        <f t="shared" si="1"/>
        <v>nani</v>
      </c>
      <c r="M10" t="str">
        <f>MID(Table3[[#This Row],[CITY]],2,3)</f>
        <v>elh</v>
      </c>
    </row>
    <row r="11" spans="1:16" x14ac:dyDescent="0.35">
      <c r="C11" s="2" t="s">
        <v>16</v>
      </c>
      <c r="J11" t="s">
        <v>25</v>
      </c>
      <c r="K11" t="str">
        <f t="shared" si="0"/>
        <v>Che</v>
      </c>
      <c r="L11" t="str">
        <f t="shared" si="1"/>
        <v>nani</v>
      </c>
      <c r="M11" t="str">
        <f>MID(Table3[[#This Row],[CITY]],2,3)</f>
        <v>elu</v>
      </c>
    </row>
    <row r="12" spans="1:16" x14ac:dyDescent="0.35">
      <c r="J12" t="s">
        <v>26</v>
      </c>
      <c r="K12" t="str">
        <f t="shared" si="0"/>
        <v>Che</v>
      </c>
      <c r="L12" t="str">
        <f t="shared" si="1"/>
        <v>nani</v>
      </c>
      <c r="M12" t="str">
        <f>MID(Table3[[#This Row],[CITY]],2,3)</f>
        <v>oa</v>
      </c>
    </row>
    <row r="13" spans="1:16" x14ac:dyDescent="0.35">
      <c r="C13">
        <v>1000</v>
      </c>
      <c r="K13" t="str">
        <f>LEFT("Chennai",3)</f>
        <v>Che</v>
      </c>
      <c r="L13" s="2" t="s">
        <v>29</v>
      </c>
      <c r="M13" t="str">
        <f>MID(Table3[[#This Row],[CITY]],2,3)</f>
        <v/>
      </c>
    </row>
    <row r="15" spans="1:16" x14ac:dyDescent="0.35">
      <c r="C15" t="s">
        <v>17</v>
      </c>
      <c r="D15" t="str">
        <f>CONCATENATE(C15," ",C13)</f>
        <v>Area is 1000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401DB-0AE4-43B7-8E36-50FAEB5AF460}">
  <dimension ref="A5:E44"/>
  <sheetViews>
    <sheetView topLeftCell="A18" workbookViewId="0">
      <selection activeCell="D42" sqref="D42"/>
    </sheetView>
  </sheetViews>
  <sheetFormatPr defaultRowHeight="14.5" x14ac:dyDescent="0.35"/>
  <cols>
    <col min="2" max="2" width="34.7265625" customWidth="1"/>
    <col min="3" max="3" width="22.54296875" customWidth="1"/>
    <col min="4" max="4" width="31.1796875" customWidth="1"/>
    <col min="5" max="5" width="25.6328125" customWidth="1"/>
  </cols>
  <sheetData>
    <row r="5" spans="1:4" x14ac:dyDescent="0.35">
      <c r="A5">
        <v>1</v>
      </c>
      <c r="B5" s="2" t="s">
        <v>34</v>
      </c>
      <c r="C5" t="s">
        <v>37</v>
      </c>
    </row>
    <row r="7" spans="1:4" x14ac:dyDescent="0.35">
      <c r="B7" t="s">
        <v>35</v>
      </c>
      <c r="D7" t="str">
        <f>TRIM(B7)</f>
        <v>I have a book</v>
      </c>
    </row>
    <row r="8" spans="1:4" x14ac:dyDescent="0.35">
      <c r="B8" t="s">
        <v>36</v>
      </c>
      <c r="C8" s="2" t="s">
        <v>38</v>
      </c>
      <c r="D8" t="str">
        <f>TRIM(B8)</f>
        <v>Do you need that book</v>
      </c>
    </row>
    <row r="11" spans="1:4" x14ac:dyDescent="0.35">
      <c r="B11" s="2" t="s">
        <v>39</v>
      </c>
    </row>
    <row r="13" spans="1:4" x14ac:dyDescent="0.35">
      <c r="B13" t="str">
        <f>TRIM("  HAI ! I am    Dheekaha   ")</f>
        <v>HAI ! I am Dheekaha</v>
      </c>
    </row>
    <row r="18" spans="1:5" x14ac:dyDescent="0.35">
      <c r="A18">
        <v>2</v>
      </c>
      <c r="B18" s="2" t="s">
        <v>40</v>
      </c>
    </row>
    <row r="19" spans="1:5" x14ac:dyDescent="0.35">
      <c r="C19" s="3" t="s">
        <v>42</v>
      </c>
      <c r="D19" s="2" t="s">
        <v>43</v>
      </c>
      <c r="E19" s="2" t="s">
        <v>44</v>
      </c>
    </row>
    <row r="20" spans="1:5" x14ac:dyDescent="0.35">
      <c r="B20" t="s">
        <v>41</v>
      </c>
      <c r="C20" t="str">
        <f>UPPER(B20)</f>
        <v>HELLO ! HOW ARE YOU</v>
      </c>
      <c r="D20" t="str">
        <f>LOWER(B20)</f>
        <v>hello ! how are you</v>
      </c>
      <c r="E20" t="str">
        <f>PROPER(B20)</f>
        <v>Hello ! How Are You</v>
      </c>
    </row>
    <row r="25" spans="1:5" x14ac:dyDescent="0.35">
      <c r="A25">
        <v>3</v>
      </c>
      <c r="B25" s="2" t="s">
        <v>45</v>
      </c>
    </row>
    <row r="26" spans="1:5" x14ac:dyDescent="0.35">
      <c r="B26" s="2" t="s">
        <v>49</v>
      </c>
    </row>
    <row r="27" spans="1:5" x14ac:dyDescent="0.35">
      <c r="B27" t="s">
        <v>46</v>
      </c>
      <c r="C27">
        <f>SEARCH("Hello",B27)</f>
        <v>1</v>
      </c>
      <c r="D27" s="2" t="s">
        <v>48</v>
      </c>
    </row>
    <row r="28" spans="1:5" x14ac:dyDescent="0.35">
      <c r="B28" t="s">
        <v>47</v>
      </c>
      <c r="C28">
        <f>SEARCH("a",B28)</f>
        <v>8</v>
      </c>
    </row>
    <row r="32" spans="1:5" x14ac:dyDescent="0.35">
      <c r="B32" s="2" t="s">
        <v>50</v>
      </c>
    </row>
    <row r="34" spans="1:4" x14ac:dyDescent="0.35">
      <c r="B34" t="s">
        <v>51</v>
      </c>
      <c r="C34">
        <f>FIND("am",B34)</f>
        <v>11</v>
      </c>
    </row>
    <row r="37" spans="1:4" x14ac:dyDescent="0.35">
      <c r="A37">
        <v>4</v>
      </c>
      <c r="B37" s="2" t="s">
        <v>52</v>
      </c>
    </row>
    <row r="40" spans="1:4" x14ac:dyDescent="0.35">
      <c r="B40" s="2" t="s">
        <v>55</v>
      </c>
    </row>
    <row r="41" spans="1:4" x14ac:dyDescent="0.35">
      <c r="B41" t="s">
        <v>53</v>
      </c>
      <c r="C41" t="str">
        <f>SUBSTITUTE(B41,"Hello","Hai")</f>
        <v>Hai, I am Dheeksha</v>
      </c>
      <c r="D41" s="2" t="s">
        <v>54</v>
      </c>
    </row>
    <row r="42" spans="1:4" x14ac:dyDescent="0.35">
      <c r="B42" t="s">
        <v>58</v>
      </c>
      <c r="C42" t="str">
        <f>SUBSTITUTE(B42,"Hello","I",2)</f>
        <v>Hello, I am Dheeksha</v>
      </c>
      <c r="D42" s="2" t="s">
        <v>59</v>
      </c>
    </row>
    <row r="43" spans="1:4" x14ac:dyDescent="0.35">
      <c r="B43" s="2" t="s">
        <v>56</v>
      </c>
    </row>
    <row r="44" spans="1:4" x14ac:dyDescent="0.35">
      <c r="B44" t="s">
        <v>53</v>
      </c>
      <c r="C44" t="str">
        <f>REPLACE(B44,13,8,"Amulu")</f>
        <v>Hello, I am Amulu</v>
      </c>
      <c r="D44" s="2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8501-E5F2-494E-AF8D-5491CE6CDC0A}">
  <dimension ref="A2:I35"/>
  <sheetViews>
    <sheetView topLeftCell="A14" zoomScale="99" zoomScaleNormal="99" workbookViewId="0">
      <selection activeCell="N35" sqref="N35"/>
    </sheetView>
  </sheetViews>
  <sheetFormatPr defaultRowHeight="14.5" x14ac:dyDescent="0.35"/>
  <cols>
    <col min="2" max="2" width="17.26953125" customWidth="1"/>
  </cols>
  <sheetData>
    <row r="2" spans="1:5" x14ac:dyDescent="0.35">
      <c r="A2">
        <v>1</v>
      </c>
      <c r="B2" s="2" t="s">
        <v>60</v>
      </c>
    </row>
    <row r="4" spans="1:5" x14ac:dyDescent="0.35">
      <c r="B4" s="2" t="s">
        <v>61</v>
      </c>
      <c r="C4" t="str">
        <f>CHAR(65)</f>
        <v>A</v>
      </c>
      <c r="D4" s="2" t="s">
        <v>62</v>
      </c>
    </row>
    <row r="5" spans="1:5" x14ac:dyDescent="0.35">
      <c r="C5" t="str">
        <f>CHAR(64)</f>
        <v>@</v>
      </c>
      <c r="D5" s="2" t="s">
        <v>63</v>
      </c>
    </row>
    <row r="6" spans="1:5" x14ac:dyDescent="0.35">
      <c r="C6" t="str">
        <f>CHAR(56)</f>
        <v>8</v>
      </c>
    </row>
    <row r="8" spans="1:5" x14ac:dyDescent="0.35">
      <c r="B8" s="2" t="s">
        <v>64</v>
      </c>
    </row>
    <row r="9" spans="1:5" x14ac:dyDescent="0.35">
      <c r="C9">
        <f>LEN("Banglore")</f>
        <v>8</v>
      </c>
      <c r="D9" s="2" t="s">
        <v>65</v>
      </c>
    </row>
    <row r="12" spans="1:5" x14ac:dyDescent="0.35">
      <c r="A12">
        <v>2</v>
      </c>
      <c r="B12" s="2" t="s">
        <v>66</v>
      </c>
    </row>
    <row r="13" spans="1:5" x14ac:dyDescent="0.35">
      <c r="B13">
        <v>9.8870000000000005</v>
      </c>
      <c r="D13">
        <f>ROUND(B13,2)</f>
        <v>9.89</v>
      </c>
      <c r="E13" s="2" t="s">
        <v>67</v>
      </c>
    </row>
    <row r="14" spans="1:5" x14ac:dyDescent="0.35">
      <c r="B14">
        <v>9.9969999999999999</v>
      </c>
      <c r="D14">
        <f>ROUND(B14,1)</f>
        <v>10</v>
      </c>
    </row>
    <row r="15" spans="1:5" x14ac:dyDescent="0.35">
      <c r="B15">
        <v>7.11</v>
      </c>
      <c r="D15">
        <f>ROUND(B15,1)</f>
        <v>7.1</v>
      </c>
    </row>
    <row r="17" spans="1:9" x14ac:dyDescent="0.35">
      <c r="B17">
        <v>9519.5</v>
      </c>
      <c r="D17">
        <f>ROUND(B17,-1)</f>
        <v>9520</v>
      </c>
      <c r="E17" t="s">
        <v>68</v>
      </c>
    </row>
    <row r="18" spans="1:9" x14ac:dyDescent="0.35">
      <c r="D18">
        <f>ROUND(B17,-2)</f>
        <v>9500</v>
      </c>
    </row>
    <row r="21" spans="1:9" x14ac:dyDescent="0.35">
      <c r="A21">
        <v>3</v>
      </c>
      <c r="B21" s="2" t="s">
        <v>69</v>
      </c>
    </row>
    <row r="22" spans="1:9" x14ac:dyDescent="0.35">
      <c r="B22">
        <v>232</v>
      </c>
    </row>
    <row r="23" spans="1:9" x14ac:dyDescent="0.35">
      <c r="B23">
        <v>324</v>
      </c>
      <c r="D23">
        <f>FLOOR(B23,2)</f>
        <v>324</v>
      </c>
    </row>
    <row r="24" spans="1:9" x14ac:dyDescent="0.35">
      <c r="B24">
        <v>544</v>
      </c>
    </row>
    <row r="26" spans="1:9" x14ac:dyDescent="0.35">
      <c r="A26">
        <v>4</v>
      </c>
      <c r="B26" s="2" t="s">
        <v>80</v>
      </c>
    </row>
    <row r="27" spans="1:9" x14ac:dyDescent="0.35">
      <c r="H27" s="2" t="s">
        <v>82</v>
      </c>
    </row>
    <row r="28" spans="1:9" x14ac:dyDescent="0.35">
      <c r="D28" t="s">
        <v>70</v>
      </c>
      <c r="E28" t="s">
        <v>71</v>
      </c>
      <c r="F28" t="s">
        <v>72</v>
      </c>
      <c r="G28" t="s">
        <v>73</v>
      </c>
      <c r="H28" t="s">
        <v>81</v>
      </c>
      <c r="I28" t="s">
        <v>83</v>
      </c>
    </row>
    <row r="29" spans="1:9" x14ac:dyDescent="0.35">
      <c r="D29" t="s">
        <v>74</v>
      </c>
      <c r="E29">
        <v>21</v>
      </c>
      <c r="F29">
        <v>34</v>
      </c>
      <c r="G29" t="str">
        <f>IF(Table7[[#This Row],[Maths]]&lt;25,"Fail","Pass")</f>
        <v>Fail</v>
      </c>
      <c r="H29" t="str">
        <f>IF(OR(Table7[[#This Row],[Maths]]&gt;25,Table7[[#This Row],[Physics]]&gt;25),"PASS","FAIL")</f>
        <v>PASS</v>
      </c>
      <c r="I29" t="str">
        <f>IF(AND(Table7[[#This Row],[Maths]]&gt;25,Table7[[#This Row],[Physics]]&gt;25),"PASS","FAIL")</f>
        <v>FAIL</v>
      </c>
    </row>
    <row r="30" spans="1:9" x14ac:dyDescent="0.35">
      <c r="D30" t="s">
        <v>75</v>
      </c>
      <c r="E30">
        <v>32</v>
      </c>
      <c r="F30">
        <v>32</v>
      </c>
      <c r="G30" t="str">
        <f>IF(Table7[[#This Row],[Maths]]&lt;25,"Fail","Pass")</f>
        <v>Pass</v>
      </c>
      <c r="H30" t="str">
        <f>IF(OR(Table7[[#This Row],[Maths]]&gt;25,Table7[[#This Row],[Physics]]&gt;25),"PASS","FAIL")</f>
        <v>PASS</v>
      </c>
      <c r="I30" t="str">
        <f>IF(AND(Table7[[#This Row],[Maths]]&gt;25,Table7[[#This Row],[Physics]]&gt;25),"PASS","FAIL")</f>
        <v>PASS</v>
      </c>
    </row>
    <row r="31" spans="1:9" x14ac:dyDescent="0.35">
      <c r="D31" t="s">
        <v>76</v>
      </c>
      <c r="E31">
        <v>43</v>
      </c>
      <c r="F31">
        <v>43</v>
      </c>
      <c r="G31" t="str">
        <f>IF(Table7[[#This Row],[Maths]]&lt;25,"Fail","Pass")</f>
        <v>Pass</v>
      </c>
      <c r="H31" t="str">
        <f>IF(OR(Table7[[#This Row],[Maths]]&gt;25,Table7[[#This Row],[Physics]]&gt;25),"PASS","FAIL")</f>
        <v>PASS</v>
      </c>
      <c r="I31" t="str">
        <f>IF(AND(Table7[[#This Row],[Maths]]&gt;25,Table7[[#This Row],[Physics]]&gt;25),"PASS","FAIL")</f>
        <v>PASS</v>
      </c>
    </row>
    <row r="32" spans="1:9" x14ac:dyDescent="0.35">
      <c r="D32" t="s">
        <v>77</v>
      </c>
      <c r="E32">
        <v>23</v>
      </c>
      <c r="F32">
        <v>76</v>
      </c>
      <c r="G32" t="str">
        <f>IF(Table7[[#This Row],[Maths]]&lt;25,"Fail","Pass")</f>
        <v>Fail</v>
      </c>
      <c r="H32" t="str">
        <f>IF(OR(Table7[[#This Row],[Maths]]&gt;25,Table7[[#This Row],[Physics]]&gt;25),"PASS","FAIL")</f>
        <v>PASS</v>
      </c>
      <c r="I32" t="str">
        <f>IF(AND(Table7[[#This Row],[Maths]]&gt;25,Table7[[#This Row],[Physics]]&gt;25),"PASS","FAIL")</f>
        <v>FAIL</v>
      </c>
    </row>
    <row r="33" spans="4:9" x14ac:dyDescent="0.35">
      <c r="D33" t="s">
        <v>78</v>
      </c>
      <c r="E33">
        <v>43</v>
      </c>
      <c r="F33">
        <v>76</v>
      </c>
      <c r="G33" t="str">
        <f>IF(Table7[[#This Row],[Maths]]&lt;25,"Fail","Pass")</f>
        <v>Pass</v>
      </c>
      <c r="H33" t="str">
        <f>IF(OR(Table7[[#This Row],[Maths]]&gt;25,Table7[[#This Row],[Physics]]&gt;25),"PASS","FAIL")</f>
        <v>PASS</v>
      </c>
      <c r="I33" t="str">
        <f>IF(AND(Table7[[#This Row],[Maths]]&gt;25,Table7[[#This Row],[Physics]]&gt;25),"PASS","FAIL")</f>
        <v>PASS</v>
      </c>
    </row>
    <row r="34" spans="4:9" x14ac:dyDescent="0.35">
      <c r="D34" t="s">
        <v>79</v>
      </c>
      <c r="E34">
        <v>21</v>
      </c>
      <c r="F34">
        <v>65</v>
      </c>
      <c r="G34" t="str">
        <f>IF(Table7[[#This Row],[Maths]]&lt;25,"Fail","Pass")</f>
        <v>Fail</v>
      </c>
      <c r="H34" t="str">
        <f>IF(OR(Table7[[#This Row],[Maths]]&gt;25,Table7[[#This Row],[Physics]]&gt;25),"PASS","FAIL")</f>
        <v>PASS</v>
      </c>
      <c r="I34" t="str">
        <f>IF(AND(Table7[[#This Row],[Maths]]&gt;25,Table7[[#This Row],[Physics]]&gt;25),"PASS","FAIL")</f>
        <v>FAIL</v>
      </c>
    </row>
    <row r="35" spans="4:9" x14ac:dyDescent="0.35">
      <c r="I35" t="s">
        <v>84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04E56-7343-4B9A-8AF4-39755B62269B}">
  <dimension ref="C2:G12"/>
  <sheetViews>
    <sheetView workbookViewId="0">
      <selection activeCell="I9" sqref="I9"/>
    </sheetView>
  </sheetViews>
  <sheetFormatPr defaultRowHeight="14.5" x14ac:dyDescent="0.35"/>
  <sheetData>
    <row r="2" spans="3:7" x14ac:dyDescent="0.35">
      <c r="C2">
        <v>23</v>
      </c>
    </row>
    <row r="3" spans="3:7" x14ac:dyDescent="0.35">
      <c r="C3">
        <v>34</v>
      </c>
    </row>
    <row r="4" spans="3:7" x14ac:dyDescent="0.35">
      <c r="C4">
        <v>54</v>
      </c>
    </row>
    <row r="5" spans="3:7" x14ac:dyDescent="0.35">
      <c r="C5">
        <v>65</v>
      </c>
    </row>
    <row r="6" spans="3:7" x14ac:dyDescent="0.35">
      <c r="C6">
        <v>67</v>
      </c>
      <c r="E6">
        <v>45</v>
      </c>
      <c r="G6">
        <v>15</v>
      </c>
    </row>
    <row r="7" spans="3:7" x14ac:dyDescent="0.35">
      <c r="C7">
        <v>15</v>
      </c>
      <c r="E7">
        <v>34</v>
      </c>
      <c r="G7">
        <v>76</v>
      </c>
    </row>
    <row r="8" spans="3:7" x14ac:dyDescent="0.35">
      <c r="C8">
        <v>41</v>
      </c>
      <c r="E8">
        <v>76</v>
      </c>
      <c r="G8">
        <v>34</v>
      </c>
    </row>
    <row r="9" spans="3:7" x14ac:dyDescent="0.35">
      <c r="E9">
        <v>45</v>
      </c>
      <c r="G9">
        <v>31</v>
      </c>
    </row>
    <row r="10" spans="3:7" x14ac:dyDescent="0.35">
      <c r="E10">
        <v>44</v>
      </c>
      <c r="G10">
        <v>52</v>
      </c>
    </row>
    <row r="11" spans="3:7" x14ac:dyDescent="0.35">
      <c r="E11">
        <v>54</v>
      </c>
      <c r="G11">
        <v>48</v>
      </c>
    </row>
    <row r="12" spans="3:7" x14ac:dyDescent="0.35">
      <c r="G12">
        <v>87</v>
      </c>
    </row>
  </sheetData>
  <conditionalFormatting sqref="C2:C8">
    <cfRule type="cellIs" dxfId="3" priority="4" operator="lessThan">
      <formula>41</formula>
    </cfRule>
    <cfRule type="cellIs" dxfId="2" priority="5" operator="lessThan">
      <formula>$P$2</formula>
    </cfRule>
  </conditionalFormatting>
  <conditionalFormatting sqref="E6:E11">
    <cfRule type="cellIs" dxfId="1" priority="3" operator="between">
      <formula>34</formula>
      <formula>56</formula>
    </cfRule>
  </conditionalFormatting>
  <conditionalFormatting sqref="G6:G12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{CEF33C0A-F174-425D-83DA-33412A3C596A}</x14:id>
        </ext>
      </extLst>
    </cfRule>
    <cfRule type="cellIs" dxfId="0" priority="2" operator="equal">
      <formula>51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F33C0A-F174-425D-83DA-33412A3C596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G6:G12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275F0-6F94-4E6B-9EFD-754518644970}">
  <dimension ref="A1:G37"/>
  <sheetViews>
    <sheetView workbookViewId="0">
      <selection activeCell="A3" sqref="A3:E10"/>
    </sheetView>
  </sheetViews>
  <sheetFormatPr defaultRowHeight="14.5" x14ac:dyDescent="0.35"/>
  <cols>
    <col min="3" max="3" width="9.81640625" customWidth="1"/>
    <col min="5" max="5" width="14.90625" customWidth="1"/>
  </cols>
  <sheetData>
    <row r="1" spans="1:7" x14ac:dyDescent="0.35">
      <c r="B1" s="2" t="s">
        <v>101</v>
      </c>
    </row>
    <row r="3" spans="1:7" x14ac:dyDescent="0.35">
      <c r="A3" t="s">
        <v>85</v>
      </c>
      <c r="B3" t="s">
        <v>86</v>
      </c>
      <c r="C3" t="s">
        <v>87</v>
      </c>
      <c r="D3" t="s">
        <v>88</v>
      </c>
      <c r="E3" t="s">
        <v>24</v>
      </c>
    </row>
    <row r="4" spans="1:7" x14ac:dyDescent="0.35">
      <c r="A4">
        <v>100</v>
      </c>
      <c r="B4" t="s">
        <v>89</v>
      </c>
      <c r="C4" t="s">
        <v>95</v>
      </c>
      <c r="D4">
        <v>23</v>
      </c>
      <c r="E4" t="s">
        <v>22</v>
      </c>
    </row>
    <row r="5" spans="1:7" x14ac:dyDescent="0.35">
      <c r="A5">
        <v>101</v>
      </c>
      <c r="B5" t="s">
        <v>90</v>
      </c>
      <c r="C5" t="s">
        <v>95</v>
      </c>
      <c r="D5">
        <v>22</v>
      </c>
      <c r="E5" t="s">
        <v>19</v>
      </c>
    </row>
    <row r="6" spans="1:7" x14ac:dyDescent="0.35">
      <c r="A6">
        <v>102</v>
      </c>
      <c r="B6" t="s">
        <v>91</v>
      </c>
      <c r="C6" t="s">
        <v>95</v>
      </c>
      <c r="D6">
        <v>24</v>
      </c>
      <c r="E6" t="s">
        <v>20</v>
      </c>
    </row>
    <row r="7" spans="1:7" x14ac:dyDescent="0.35">
      <c r="A7">
        <v>103</v>
      </c>
      <c r="B7" t="s">
        <v>92</v>
      </c>
      <c r="C7" t="s">
        <v>96</v>
      </c>
      <c r="D7">
        <v>22</v>
      </c>
      <c r="E7" t="s">
        <v>21</v>
      </c>
    </row>
    <row r="8" spans="1:7" x14ac:dyDescent="0.35">
      <c r="A8">
        <v>104</v>
      </c>
      <c r="B8" t="s">
        <v>93</v>
      </c>
      <c r="C8" t="s">
        <v>96</v>
      </c>
      <c r="D8">
        <v>23</v>
      </c>
      <c r="E8" t="s">
        <v>97</v>
      </c>
    </row>
    <row r="9" spans="1:7" x14ac:dyDescent="0.35">
      <c r="A9">
        <v>105</v>
      </c>
      <c r="B9" t="s">
        <v>94</v>
      </c>
      <c r="C9" t="s">
        <v>95</v>
      </c>
      <c r="D9">
        <v>21</v>
      </c>
      <c r="E9" t="s">
        <v>26</v>
      </c>
      <c r="G9" t="s">
        <v>89</v>
      </c>
    </row>
    <row r="10" spans="1:7" x14ac:dyDescent="0.35">
      <c r="A10">
        <v>103</v>
      </c>
      <c r="B10" t="s">
        <v>98</v>
      </c>
      <c r="C10" t="s">
        <v>96</v>
      </c>
      <c r="D10">
        <v>22</v>
      </c>
      <c r="E10" t="s">
        <v>99</v>
      </c>
    </row>
    <row r="14" spans="1:7" x14ac:dyDescent="0.35">
      <c r="C14" t="s">
        <v>100</v>
      </c>
      <c r="D14">
        <v>103</v>
      </c>
      <c r="E14" t="str">
        <f>VLOOKUP(D14,A4:E10,5,FALSE)</f>
        <v>Mumbai</v>
      </c>
    </row>
    <row r="18" spans="2:4" x14ac:dyDescent="0.35">
      <c r="B18">
        <v>101</v>
      </c>
      <c r="C18" t="str">
        <f>VLOOKUP(B18,A4:E10,3,FALSE)</f>
        <v>Male</v>
      </c>
    </row>
    <row r="21" spans="2:4" x14ac:dyDescent="0.35">
      <c r="B21" s="2" t="s">
        <v>102</v>
      </c>
    </row>
    <row r="25" spans="2:4" x14ac:dyDescent="0.35">
      <c r="B25" t="s">
        <v>91</v>
      </c>
      <c r="C25" t="s">
        <v>20</v>
      </c>
      <c r="D25" t="str">
        <f>HLOOKUP(C25,A4:E10,2,TRUE)</f>
        <v>Sumit</v>
      </c>
    </row>
    <row r="29" spans="2:4" x14ac:dyDescent="0.35">
      <c r="B29" s="2" t="s">
        <v>103</v>
      </c>
    </row>
    <row r="32" spans="2:4" x14ac:dyDescent="0.35">
      <c r="C32" t="s">
        <v>85</v>
      </c>
      <c r="D32">
        <v>104</v>
      </c>
    </row>
    <row r="33" spans="3:4" x14ac:dyDescent="0.35">
      <c r="C33" t="s">
        <v>104</v>
      </c>
      <c r="D33">
        <f>MATCH(D32,A5:A10)</f>
        <v>4</v>
      </c>
    </row>
    <row r="36" spans="3:4" x14ac:dyDescent="0.35">
      <c r="C36" t="s">
        <v>88</v>
      </c>
      <c r="D36">
        <v>23</v>
      </c>
    </row>
    <row r="37" spans="3:4" x14ac:dyDescent="0.35">
      <c r="D37">
        <f>MATCH(D36,D5:D10)</f>
        <v>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51E-1521-4B43-90DB-3E180DAA9147}">
  <dimension ref="A3:F29"/>
  <sheetViews>
    <sheetView tabSelected="1" workbookViewId="0">
      <selection activeCell="E24" sqref="E24"/>
    </sheetView>
  </sheetViews>
  <sheetFormatPr defaultRowHeight="14.5" x14ac:dyDescent="0.35"/>
  <sheetData>
    <row r="3" spans="1:5" x14ac:dyDescent="0.35">
      <c r="A3" t="s">
        <v>85</v>
      </c>
      <c r="B3" t="s">
        <v>86</v>
      </c>
      <c r="C3" t="s">
        <v>87</v>
      </c>
      <c r="D3" t="s">
        <v>88</v>
      </c>
      <c r="E3" t="s">
        <v>24</v>
      </c>
    </row>
    <row r="4" spans="1:5" x14ac:dyDescent="0.35">
      <c r="A4">
        <v>100</v>
      </c>
      <c r="B4" t="s">
        <v>89</v>
      </c>
      <c r="C4" t="s">
        <v>95</v>
      </c>
      <c r="D4">
        <v>23</v>
      </c>
      <c r="E4" t="s">
        <v>22</v>
      </c>
    </row>
    <row r="5" spans="1:5" x14ac:dyDescent="0.35">
      <c r="A5">
        <v>101</v>
      </c>
      <c r="B5" t="s">
        <v>90</v>
      </c>
      <c r="C5" t="s">
        <v>95</v>
      </c>
      <c r="D5">
        <v>22</v>
      </c>
      <c r="E5" t="s">
        <v>19</v>
      </c>
    </row>
    <row r="6" spans="1:5" x14ac:dyDescent="0.35">
      <c r="A6">
        <v>102</v>
      </c>
      <c r="B6" t="s">
        <v>91</v>
      </c>
      <c r="C6" t="s">
        <v>95</v>
      </c>
      <c r="D6">
        <v>24</v>
      </c>
      <c r="E6" t="s">
        <v>20</v>
      </c>
    </row>
    <row r="7" spans="1:5" x14ac:dyDescent="0.35">
      <c r="A7">
        <v>103</v>
      </c>
      <c r="B7" t="s">
        <v>92</v>
      </c>
      <c r="C7" t="s">
        <v>96</v>
      </c>
      <c r="D7">
        <v>22</v>
      </c>
      <c r="E7" t="s">
        <v>21</v>
      </c>
    </row>
    <row r="8" spans="1:5" x14ac:dyDescent="0.35">
      <c r="A8">
        <v>104</v>
      </c>
      <c r="B8" t="s">
        <v>93</v>
      </c>
      <c r="C8" t="s">
        <v>96</v>
      </c>
      <c r="D8">
        <v>23</v>
      </c>
      <c r="E8" t="s">
        <v>97</v>
      </c>
    </row>
    <row r="9" spans="1:5" x14ac:dyDescent="0.35">
      <c r="A9">
        <v>105</v>
      </c>
      <c r="B9" t="s">
        <v>94</v>
      </c>
      <c r="C9" t="s">
        <v>95</v>
      </c>
      <c r="D9">
        <v>21</v>
      </c>
      <c r="E9" t="s">
        <v>26</v>
      </c>
    </row>
    <row r="10" spans="1:5" x14ac:dyDescent="0.35">
      <c r="A10">
        <v>103</v>
      </c>
      <c r="B10" t="s">
        <v>98</v>
      </c>
      <c r="C10" t="s">
        <v>96</v>
      </c>
      <c r="D10">
        <v>22</v>
      </c>
      <c r="E10" t="s">
        <v>99</v>
      </c>
    </row>
    <row r="14" spans="1:5" x14ac:dyDescent="0.35">
      <c r="B14" s="2" t="s">
        <v>105</v>
      </c>
      <c r="C14" t="s">
        <v>106</v>
      </c>
    </row>
    <row r="15" spans="1:5" x14ac:dyDescent="0.35">
      <c r="C15">
        <v>4</v>
      </c>
    </row>
    <row r="16" spans="1:5" x14ac:dyDescent="0.35">
      <c r="C16" cm="1">
        <f t="array" ref="C16">INDEX(A4:A10,C15)</f>
        <v>103</v>
      </c>
    </row>
    <row r="19" spans="2:6" x14ac:dyDescent="0.35">
      <c r="B19" s="2" t="s">
        <v>107</v>
      </c>
      <c r="D19" t="s">
        <v>109</v>
      </c>
    </row>
    <row r="20" spans="2:6" x14ac:dyDescent="0.35">
      <c r="B20">
        <f>INDEX(D4:D10,MATCH(104,A4:A9))</f>
        <v>23</v>
      </c>
      <c r="C20" t="s">
        <v>108</v>
      </c>
    </row>
    <row r="23" spans="2:6" x14ac:dyDescent="0.35">
      <c r="B23" s="2" t="s">
        <v>110</v>
      </c>
    </row>
    <row r="24" spans="2:6" x14ac:dyDescent="0.35">
      <c r="B24" t="s">
        <v>111</v>
      </c>
      <c r="D24">
        <f ca="1">OFFSET(A4,3,3,1,1)</f>
        <v>22</v>
      </c>
      <c r="E24" t="s">
        <v>116</v>
      </c>
    </row>
    <row r="25" spans="2:6" x14ac:dyDescent="0.35">
      <c r="B25" t="s">
        <v>112</v>
      </c>
      <c r="D25" t="s">
        <v>117</v>
      </c>
      <c r="F25" t="s">
        <v>119</v>
      </c>
    </row>
    <row r="26" spans="2:6" x14ac:dyDescent="0.35">
      <c r="B26" t="s">
        <v>113</v>
      </c>
      <c r="D26" cm="1">
        <f t="array" aca="1" ref="D26:D27" ca="1">OFFSET(B4,2,2,2,1)</f>
        <v>24</v>
      </c>
    </row>
    <row r="27" spans="2:6" x14ac:dyDescent="0.35">
      <c r="B27" t="s">
        <v>114</v>
      </c>
      <c r="D27">
        <f ca="1"/>
        <v>22</v>
      </c>
      <c r="F27">
        <f ca="1">SUM(OFFSET(B4,2,2,2,1))</f>
        <v>46</v>
      </c>
    </row>
    <row r="28" spans="2:6" x14ac:dyDescent="0.35">
      <c r="B28" t="s">
        <v>118</v>
      </c>
    </row>
    <row r="29" spans="2:6" x14ac:dyDescent="0.35">
      <c r="B29" t="s">
        <v>115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B8F3-B6B4-405B-87D4-546172955627}">
  <dimension ref="B4:G10"/>
  <sheetViews>
    <sheetView showFormulas="1" workbookViewId="0">
      <selection activeCell="F6" sqref="F6"/>
    </sheetView>
  </sheetViews>
  <sheetFormatPr defaultRowHeight="14.5" x14ac:dyDescent="0.35"/>
  <cols>
    <col min="2" max="2" width="12.453125" customWidth="1"/>
    <col min="5" max="5" width="10.7265625" customWidth="1"/>
  </cols>
  <sheetData>
    <row r="4" spans="2:7" x14ac:dyDescent="0.35">
      <c r="B4" t="s">
        <v>20</v>
      </c>
      <c r="G4" t="s">
        <v>120</v>
      </c>
    </row>
    <row r="5" spans="2:7" x14ac:dyDescent="0.35">
      <c r="B5" t="s">
        <v>19</v>
      </c>
    </row>
    <row r="6" spans="2:7" x14ac:dyDescent="0.35">
      <c r="B6" t="s">
        <v>22</v>
      </c>
    </row>
    <row r="7" spans="2:7" x14ac:dyDescent="0.35">
      <c r="B7" t="s">
        <v>21</v>
      </c>
      <c r="E7" t="s">
        <v>120</v>
      </c>
      <c r="F7" t="s">
        <v>20</v>
      </c>
    </row>
    <row r="8" spans="2:7" x14ac:dyDescent="0.35">
      <c r="F8" t="s">
        <v>19</v>
      </c>
    </row>
    <row r="9" spans="2:7" x14ac:dyDescent="0.35">
      <c r="F9" t="s">
        <v>22</v>
      </c>
    </row>
    <row r="10" spans="2:7" x14ac:dyDescent="0.35">
      <c r="F10" t="s">
        <v>21</v>
      </c>
    </row>
  </sheetData>
  <sheetProtection selectLockedCells="1"/>
  <dataValidations count="5">
    <dataValidation type="list" allowBlank="1" showInputMessage="1" showErrorMessage="1" sqref="E7" xr:uid="{21BFD681-01D0-42F9-84C1-29F1B85767AE}">
      <formula1>#REF!</formula1>
    </dataValidation>
    <dataValidation type="list" showInputMessage="1" showErrorMessage="1" sqref="F7:F10 B4:B7" xr:uid="{486F7FB0-6D1C-4BA8-A8DD-D37037217ADC}">
      <formula1>$B$4:$B$7</formula1>
    </dataValidation>
    <dataValidation type="list" allowBlank="1" showDropDown="1" showInputMessage="1" showErrorMessage="1" sqref="G4" xr:uid="{C9F2CAD1-B9A4-4636-8F9A-6F8E741B836E}">
      <formula1>$B$4:$B$7</formula1>
    </dataValidation>
    <dataValidation type="list" allowBlank="1" showInputMessage="1" showErrorMessage="1" sqref="H4" xr:uid="{FA772B14-4C8A-4C7E-9479-8AA5FCBAB75A}">
      <formula1>$B$4:$B$7</formula1>
    </dataValidation>
    <dataValidation type="list" allowBlank="1" showInputMessage="1" showErrorMessage="1" sqref="G6" xr:uid="{87C19570-7FA3-4B0B-822F-22F37458C4C5}">
      <formula1>$B$5:$B$7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SubString</vt:lpstr>
      <vt:lpstr>TEST data</vt:lpstr>
      <vt:lpstr>Rounding off</vt:lpstr>
      <vt:lpstr>Conditional formatting</vt:lpstr>
      <vt:lpstr>Data Mapping</vt:lpstr>
      <vt:lpstr>offset</vt:lpstr>
      <vt:lpstr>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Dheeksha PM</dc:creator>
  <cp:lastModifiedBy>Dheeksha PM</cp:lastModifiedBy>
  <dcterms:created xsi:type="dcterms:W3CDTF">2025-11-01T17:28:01Z</dcterms:created>
  <dcterms:modified xsi:type="dcterms:W3CDTF">2025-11-04T02:37:01Z</dcterms:modified>
</cp:coreProperties>
</file>